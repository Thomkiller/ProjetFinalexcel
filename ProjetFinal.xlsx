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8_{32F97130-4EED-4E48-9D62-4FF03ABA9BD5}" xr6:coauthVersionLast="47" xr6:coauthVersionMax="47" xr10:uidLastSave="{00000000-0000-0000-0000-000000000000}"/>
  <bookViews>
    <workbookView xWindow="2985" yWindow="2685" windowWidth="21600" windowHeight="11385" xr2:uid="{00000000-000D-0000-FFFF-FFFF00000000}"/>
  </bookViews>
  <sheets>
    <sheet name="Graphique et données" sheetId="3" r:id="rId1"/>
    <sheet name="Simulation en mouvem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1" i="3" l="1"/>
  <c r="I51" i="3" s="1"/>
  <c r="H52" i="3"/>
  <c r="P52" i="3" s="1"/>
  <c r="J53" i="3"/>
  <c r="H53" i="3"/>
  <c r="P53" i="3" s="1"/>
  <c r="H54" i="3"/>
  <c r="N54" i="3" s="1"/>
  <c r="H55" i="3"/>
  <c r="Q55" i="3" s="1"/>
  <c r="H56" i="3"/>
  <c r="M56" i="3" s="1"/>
  <c r="H57" i="3"/>
  <c r="M57" i="3" s="1"/>
  <c r="H58" i="3"/>
  <c r="M58" i="3" s="1"/>
  <c r="H59" i="3"/>
  <c r="M59" i="3" s="1"/>
  <c r="H60" i="3"/>
  <c r="P60" i="3" s="1"/>
  <c r="H61" i="3"/>
  <c r="P61" i="3" s="1"/>
  <c r="H62" i="3"/>
  <c r="N62" i="3" s="1"/>
  <c r="H63" i="3"/>
  <c r="Q63" i="3" s="1"/>
  <c r="G36" i="3"/>
  <c r="G37" i="3" s="1"/>
  <c r="G30" i="3"/>
  <c r="G28" i="3"/>
  <c r="G29" i="3" s="1"/>
  <c r="G20" i="3"/>
  <c r="Q51" i="3" l="1"/>
  <c r="I55" i="3"/>
  <c r="I54" i="3"/>
  <c r="N61" i="3"/>
  <c r="Q62" i="3"/>
  <c r="J60" i="3"/>
  <c r="I53" i="3"/>
  <c r="N60" i="3"/>
  <c r="Q61" i="3"/>
  <c r="N53" i="3"/>
  <c r="Q60" i="3"/>
  <c r="P58" i="3"/>
  <c r="I59" i="3"/>
  <c r="J59" i="3"/>
  <c r="N58" i="3"/>
  <c r="I62" i="3"/>
  <c r="N52" i="3"/>
  <c r="Q59" i="3"/>
  <c r="J58" i="3"/>
  <c r="N59" i="3"/>
  <c r="I63" i="3"/>
  <c r="I61" i="3"/>
  <c r="J51" i="3"/>
  <c r="P51" i="3"/>
  <c r="Q54" i="3"/>
  <c r="J61" i="3"/>
  <c r="I60" i="3"/>
  <c r="M51" i="3"/>
  <c r="P59" i="3"/>
  <c r="Q53" i="3"/>
  <c r="M55" i="3"/>
  <c r="P57" i="3"/>
  <c r="M62" i="3"/>
  <c r="M61" i="3"/>
  <c r="M53" i="3"/>
  <c r="J56" i="3"/>
  <c r="J63" i="3"/>
  <c r="J55" i="3"/>
  <c r="I58" i="3"/>
  <c r="I52" i="3"/>
  <c r="N51" i="3"/>
  <c r="N56" i="3"/>
  <c r="Q58" i="3"/>
  <c r="M63" i="3"/>
  <c r="M54" i="3"/>
  <c r="P56" i="3"/>
  <c r="J57" i="3"/>
  <c r="P63" i="3"/>
  <c r="P55" i="3"/>
  <c r="Q52" i="3"/>
  <c r="J52" i="3"/>
  <c r="M60" i="3"/>
  <c r="M52" i="3"/>
  <c r="N57" i="3"/>
  <c r="P62" i="3"/>
  <c r="P54" i="3"/>
  <c r="J62" i="3"/>
  <c r="J54" i="3"/>
  <c r="I57" i="3"/>
  <c r="N63" i="3"/>
  <c r="N55" i="3"/>
  <c r="Q57" i="3"/>
  <c r="I56" i="3"/>
  <c r="Q56" i="3"/>
  <c r="G22" i="3"/>
  <c r="G21" i="3"/>
</calcChain>
</file>

<file path=xl/sharedStrings.xml><?xml version="1.0" encoding="utf-8"?>
<sst xmlns="http://schemas.openxmlformats.org/spreadsheetml/2006/main" count="114" uniqueCount="51">
  <si>
    <t>seconde</t>
  </si>
  <si>
    <t>mètre/seconde</t>
  </si>
  <si>
    <t>-</t>
  </si>
  <si>
    <t>Corps en mouvement</t>
  </si>
  <si>
    <t>Masse</t>
  </si>
  <si>
    <t>Accélération initiale</t>
  </si>
  <si>
    <t>Dimension</t>
  </si>
  <si>
    <t>Vitesse initiale</t>
  </si>
  <si>
    <t>gramme</t>
  </si>
  <si>
    <t>mètre</t>
  </si>
  <si>
    <t>mètre/seconde²</t>
  </si>
  <si>
    <t>Position initiale</t>
  </si>
  <si>
    <t>Mars</t>
  </si>
  <si>
    <t>Trois corps statiques</t>
  </si>
  <si>
    <t>Saturne</t>
  </si>
  <si>
    <t>Paramètre généraux</t>
  </si>
  <si>
    <t>Base de temps</t>
  </si>
  <si>
    <t>Coefficient de friction</t>
  </si>
  <si>
    <t>Ratio de la constante d'Aarseth</t>
  </si>
  <si>
    <t>Position</t>
  </si>
  <si>
    <t>Rayon</t>
  </si>
  <si>
    <t>Masse volumique moyenne</t>
  </si>
  <si>
    <t>Masse totale</t>
  </si>
  <si>
    <t>Volume</t>
  </si>
  <si>
    <t>Constante d'Aarseth</t>
  </si>
  <si>
    <t>Attraction/Répulsion</t>
  </si>
  <si>
    <t>t</t>
  </si>
  <si>
    <t>f</t>
  </si>
  <si>
    <t>A</t>
  </si>
  <si>
    <t>m</t>
  </si>
  <si>
    <t>p</t>
  </si>
  <si>
    <t>v</t>
  </si>
  <si>
    <t>a</t>
  </si>
  <si>
    <t>q</t>
  </si>
  <si>
    <t>r</t>
  </si>
  <si>
    <t>V</t>
  </si>
  <si>
    <t>M</t>
  </si>
  <si>
    <t>W</t>
  </si>
  <si>
    <t>Terre</t>
  </si>
  <si>
    <t>gramme/mètre^5</t>
  </si>
  <si>
    <t>mètre^5</t>
  </si>
  <si>
    <t>s</t>
  </si>
  <si>
    <t>1 ou -1</t>
  </si>
  <si>
    <t>xc</t>
  </si>
  <si>
    <t>yc</t>
  </si>
  <si>
    <t xml:space="preserve">angle  </t>
  </si>
  <si>
    <t>x</t>
  </si>
  <si>
    <t>y</t>
  </si>
  <si>
    <t>LA TERRE</t>
  </si>
  <si>
    <t>MARS</t>
  </si>
  <si>
    <t>SATURNE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</si>
</sst>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sz val="14"/>
      <color theme="0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theme="5" tint="-0.24994659260841701"/>
      <name val="Calibri"/>
      <family val="2"/>
      <scheme val="minor"/>
    </font>
    <font>
      <b/>
      <sz val="11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mediumGray">
        <bgColor theme="4" tint="-0.24994659260841701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darkGray">
        <bgColor rgb="FFFF0000"/>
      </patternFill>
    </fill>
    <fill>
      <patternFill patternType="solid">
        <fgColor rgb="FFD3A6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FFFF00"/>
        <bgColor theme="6" tint="-0.24994659260841701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0" fontId="4" fillId="2" borderId="1">
      <alignment horizontal="center"/>
    </xf>
    <xf numFmtId="164" fontId="2" fillId="3" borderId="1"/>
    <xf numFmtId="0" fontId="3" fillId="4" borderId="1">
      <alignment horizontal="left"/>
    </xf>
    <xf numFmtId="0" fontId="1" fillId="0" borderId="1"/>
    <xf numFmtId="0" fontId="5" fillId="5" borderId="1">
      <alignment horizontal="center"/>
    </xf>
    <xf numFmtId="0" fontId="3" fillId="6" borderId="1"/>
    <xf numFmtId="0" fontId="3" fillId="7" borderId="1"/>
    <xf numFmtId="0" fontId="6" fillId="8" borderId="1"/>
    <xf numFmtId="0" fontId="3" fillId="9" borderId="1">
      <alignment horizontal="left"/>
    </xf>
  </cellStyleXfs>
  <cellXfs count="31">
    <xf numFmtId="0" fontId="0" fillId="0" borderId="0" xfId="0"/>
    <xf numFmtId="164" fontId="2" fillId="3" borderId="1" xfId="2"/>
    <xf numFmtId="164" fontId="2" fillId="3" borderId="1" xfId="2" applyAlignment="1">
      <alignment horizontal="center"/>
    </xf>
    <xf numFmtId="1" fontId="2" fillId="3" borderId="1" xfId="2" applyNumberFormat="1"/>
    <xf numFmtId="0" fontId="3" fillId="4" borderId="1" xfId="3">
      <alignment horizontal="left"/>
    </xf>
    <xf numFmtId="0" fontId="3" fillId="6" borderId="1" xfId="6"/>
    <xf numFmtId="0" fontId="3" fillId="9" borderId="1" xfId="9">
      <alignment horizontal="left"/>
    </xf>
    <xf numFmtId="164" fontId="7" fillId="3" borderId="1" xfId="2" applyFont="1"/>
    <xf numFmtId="0" fontId="3" fillId="4" borderId="1" xfId="3" applyAlignment="1">
      <alignment horizontal="center"/>
    </xf>
    <xf numFmtId="0" fontId="3" fillId="6" borderId="1" xfId="6" applyAlignment="1">
      <alignment horizontal="center"/>
    </xf>
    <xf numFmtId="0" fontId="3" fillId="9" borderId="1" xfId="9" applyAlignment="1">
      <alignment horizontal="center"/>
    </xf>
    <xf numFmtId="0" fontId="0" fillId="0" borderId="1" xfId="0" applyBorder="1"/>
    <xf numFmtId="0" fontId="0" fillId="0" borderId="0" xfId="0" applyBorder="1" applyAlignment="1"/>
    <xf numFmtId="0" fontId="3" fillId="9" borderId="4" xfId="9" applyBorder="1" applyAlignment="1">
      <alignment horizontal="center"/>
    </xf>
    <xf numFmtId="0" fontId="3" fillId="9" borderId="3" xfId="9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1">
      <alignment horizontal="center"/>
    </xf>
    <xf numFmtId="0" fontId="4" fillId="2" borderId="4" xfId="1" applyBorder="1" applyAlignment="1">
      <alignment horizontal="center"/>
    </xf>
    <xf numFmtId="0" fontId="4" fillId="2" borderId="2" xfId="1" applyBorder="1" applyAlignment="1">
      <alignment horizontal="center"/>
    </xf>
    <xf numFmtId="0" fontId="4" fillId="2" borderId="3" xfId="1" applyBorder="1" applyAlignment="1">
      <alignment horizontal="center"/>
    </xf>
    <xf numFmtId="164" fontId="7" fillId="3" borderId="1" xfId="2" applyFont="1"/>
    <xf numFmtId="0" fontId="3" fillId="9" borderId="1" xfId="9">
      <alignment horizontal="left"/>
    </xf>
    <xf numFmtId="0" fontId="3" fillId="6" borderId="1" xfId="6"/>
    <xf numFmtId="0" fontId="6" fillId="8" borderId="1" xfId="8" applyAlignment="1">
      <alignment horizontal="center"/>
    </xf>
    <xf numFmtId="0" fontId="3" fillId="6" borderId="4" xfId="6" applyBorder="1" applyAlignment="1">
      <alignment horizontal="center"/>
    </xf>
    <xf numFmtId="0" fontId="3" fillId="6" borderId="3" xfId="6" applyBorder="1" applyAlignment="1">
      <alignment horizontal="center"/>
    </xf>
    <xf numFmtId="164" fontId="2" fillId="3" borderId="4" xfId="2" applyBorder="1" applyAlignment="1">
      <alignment horizontal="center"/>
    </xf>
    <xf numFmtId="164" fontId="2" fillId="3" borderId="3" xfId="2" applyBorder="1" applyAlignment="1">
      <alignment horizontal="center"/>
    </xf>
    <xf numFmtId="0" fontId="5" fillId="5" borderId="1" xfId="5">
      <alignment horizontal="center"/>
    </xf>
  </cellXfs>
  <cellStyles count="10">
    <cellStyle name="Données mars" xfId="7" xr:uid="{00000000-0005-0000-0000-000000000000}"/>
    <cellStyle name="Données tableau" xfId="2" xr:uid="{00000000-0005-0000-0000-000001000000}"/>
    <cellStyle name="Normal" xfId="0" builtinId="0" customBuiltin="1"/>
    <cellStyle name="Normal2" xfId="4" xr:uid="{00000000-0005-0000-0000-000003000000}"/>
    <cellStyle name="Saturne" xfId="8" xr:uid="{00000000-0005-0000-0000-000004000000}"/>
    <cellStyle name="Saturne titre données" xfId="9" xr:uid="{00000000-0005-0000-0000-000005000000}"/>
    <cellStyle name="Titre corps2" xfId="5" xr:uid="{00000000-0005-0000-0000-000006000000}"/>
    <cellStyle name="Titre données" xfId="3" xr:uid="{00000000-0005-0000-0000-000007000000}"/>
    <cellStyle name="Titre données Mars" xfId="6" xr:uid="{00000000-0005-0000-0000-000008000000}"/>
    <cellStyle name="titre table" xfId="1" xr:uid="{00000000-0005-0000-0000-000009000000}"/>
  </cellStyles>
  <dxfs count="0"/>
  <tableStyles count="0" defaultTableStyle="TableStyleMedium2" defaultPivotStyle="PivotStyleLight16"/>
  <colors>
    <mruColors>
      <color rgb="FFD3A66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Simulation</a:t>
            </a:r>
            <a:r>
              <a:rPr lang="fr-CA" baseline="0"/>
              <a:t> gravitationelle entre la Terre, Mars et Saturne</a:t>
            </a:r>
            <a:endParaRPr lang="fr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2.0190839048344764E-2"/>
          <c:y val="6.5889374037062076E-2"/>
          <c:w val="0.95034679536025735"/>
          <c:h val="0.92561484918793502"/>
        </c:manualLayout>
      </c:layout>
      <c:scatterChart>
        <c:scatterStyle val="smoothMarker"/>
        <c:varyColors val="0"/>
        <c:ser>
          <c:idx val="0"/>
          <c:order val="0"/>
          <c:tx>
            <c:v>Terre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'Graphique et données'!$I$51:$I$63</c:f>
              <c:numCache>
                <c:formatCode>General</c:formatCode>
                <c:ptCount val="13"/>
                <c:pt idx="0">
                  <c:v>14700</c:v>
                </c:pt>
                <c:pt idx="1">
                  <c:v>14164.101615137755</c:v>
                </c:pt>
                <c:pt idx="2">
                  <c:v>12700</c:v>
                </c:pt>
                <c:pt idx="3">
                  <c:v>10700</c:v>
                </c:pt>
                <c:pt idx="4">
                  <c:v>8700</c:v>
                </c:pt>
                <c:pt idx="5">
                  <c:v>7235.8983848622465</c:v>
                </c:pt>
                <c:pt idx="6">
                  <c:v>6700</c:v>
                </c:pt>
                <c:pt idx="7">
                  <c:v>7235.8983848622447</c:v>
                </c:pt>
                <c:pt idx="8">
                  <c:v>8699.9999999999982</c:v>
                </c:pt>
                <c:pt idx="9">
                  <c:v>10700</c:v>
                </c:pt>
                <c:pt idx="10">
                  <c:v>12699.999999999996</c:v>
                </c:pt>
                <c:pt idx="11">
                  <c:v>14164.101615137753</c:v>
                </c:pt>
                <c:pt idx="12">
                  <c:v>14700</c:v>
                </c:pt>
              </c:numCache>
            </c:numRef>
          </c:xVal>
          <c:yVal>
            <c:numRef>
              <c:f>'Graphique et données'!$J$51:$J$63</c:f>
              <c:numCache>
                <c:formatCode>General</c:formatCode>
                <c:ptCount val="13"/>
                <c:pt idx="0">
                  <c:v>5500</c:v>
                </c:pt>
                <c:pt idx="1">
                  <c:v>7500</c:v>
                </c:pt>
                <c:pt idx="2">
                  <c:v>8964.1016151377553</c:v>
                </c:pt>
                <c:pt idx="3">
                  <c:v>9500</c:v>
                </c:pt>
                <c:pt idx="4">
                  <c:v>8964.1016151377553</c:v>
                </c:pt>
                <c:pt idx="5">
                  <c:v>7500.0000000000018</c:v>
                </c:pt>
                <c:pt idx="6">
                  <c:v>5500.0000000000009</c:v>
                </c:pt>
                <c:pt idx="7">
                  <c:v>3500.0000000000009</c:v>
                </c:pt>
                <c:pt idx="8">
                  <c:v>2035.8983848622465</c:v>
                </c:pt>
                <c:pt idx="9">
                  <c:v>1500</c:v>
                </c:pt>
                <c:pt idx="10">
                  <c:v>2035.8983848622438</c:v>
                </c:pt>
                <c:pt idx="11">
                  <c:v>3499.9999999999982</c:v>
                </c:pt>
                <c:pt idx="12">
                  <c:v>5499.9999999999991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D1-489F-B45D-450C37201D41}"/>
            </c:ext>
          </c:extLst>
        </c:ser>
        <c:ser>
          <c:idx val="1"/>
          <c:order val="1"/>
          <c:tx>
            <c:v>Mars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'Graphique et données'!$M$51:$M$63</c:f>
              <c:numCache>
                <c:formatCode>General</c:formatCode>
                <c:ptCount val="13"/>
                <c:pt idx="0">
                  <c:v>-7800</c:v>
                </c:pt>
                <c:pt idx="1">
                  <c:v>-8201.9237886466835</c:v>
                </c:pt>
                <c:pt idx="2">
                  <c:v>-9300</c:v>
                </c:pt>
                <c:pt idx="3">
                  <c:v>-10800</c:v>
                </c:pt>
                <c:pt idx="4">
                  <c:v>-12300</c:v>
                </c:pt>
                <c:pt idx="5">
                  <c:v>-13398.076211353316</c:v>
                </c:pt>
                <c:pt idx="6">
                  <c:v>-13800</c:v>
                </c:pt>
                <c:pt idx="7">
                  <c:v>-13398.076211353316</c:v>
                </c:pt>
                <c:pt idx="8">
                  <c:v>-12300.000000000002</c:v>
                </c:pt>
                <c:pt idx="9">
                  <c:v>-10800</c:v>
                </c:pt>
                <c:pt idx="10">
                  <c:v>-9300.0000000000018</c:v>
                </c:pt>
                <c:pt idx="11">
                  <c:v>-8201.9237886466854</c:v>
                </c:pt>
                <c:pt idx="12">
                  <c:v>-7800</c:v>
                </c:pt>
              </c:numCache>
            </c:numRef>
          </c:xVal>
          <c:yVal>
            <c:numRef>
              <c:f>'Graphique et données'!$N$51:$N$63</c:f>
              <c:numCache>
                <c:formatCode>General</c:formatCode>
                <c:ptCount val="13"/>
                <c:pt idx="0">
                  <c:v>-1000</c:v>
                </c:pt>
                <c:pt idx="1">
                  <c:v>499.99999999999977</c:v>
                </c:pt>
                <c:pt idx="2">
                  <c:v>1598.076211353316</c:v>
                </c:pt>
                <c:pt idx="3">
                  <c:v>2000</c:v>
                </c:pt>
                <c:pt idx="4">
                  <c:v>1598.076211353316</c:v>
                </c:pt>
                <c:pt idx="5">
                  <c:v>500.00000000000091</c:v>
                </c:pt>
                <c:pt idx="6">
                  <c:v>-999.99999999999966</c:v>
                </c:pt>
                <c:pt idx="7">
                  <c:v>-2499.9999999999991</c:v>
                </c:pt>
                <c:pt idx="8">
                  <c:v>-3598.0762113533151</c:v>
                </c:pt>
                <c:pt idx="9">
                  <c:v>-4000</c:v>
                </c:pt>
                <c:pt idx="10">
                  <c:v>-3598.0762113533169</c:v>
                </c:pt>
                <c:pt idx="11">
                  <c:v>-2500.0000000000014</c:v>
                </c:pt>
                <c:pt idx="12">
                  <c:v>-1000.0000000000007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7D1-489F-B45D-450C37201D41}"/>
            </c:ext>
          </c:extLst>
        </c:ser>
        <c:ser>
          <c:idx val="2"/>
          <c:order val="2"/>
          <c:tx>
            <c:v>Saturne</c:v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'Graphique et données'!$P$51:$P$63</c:f>
              <c:numCache>
                <c:formatCode>General</c:formatCode>
                <c:ptCount val="13"/>
                <c:pt idx="0">
                  <c:v>4100</c:v>
                </c:pt>
                <c:pt idx="1">
                  <c:v>3296.152422706632</c:v>
                </c:pt>
                <c:pt idx="2">
                  <c:v>1100.0000000000005</c:v>
                </c:pt>
                <c:pt idx="3">
                  <c:v>-1899.9999999999995</c:v>
                </c:pt>
                <c:pt idx="4">
                  <c:v>-4899.9999999999982</c:v>
                </c:pt>
                <c:pt idx="5">
                  <c:v>-7096.1524227066311</c:v>
                </c:pt>
                <c:pt idx="6">
                  <c:v>-7900</c:v>
                </c:pt>
                <c:pt idx="7">
                  <c:v>-7096.1524227066329</c:v>
                </c:pt>
                <c:pt idx="8">
                  <c:v>-4900.0000000000027</c:v>
                </c:pt>
                <c:pt idx="9">
                  <c:v>-1900.0000000000011</c:v>
                </c:pt>
                <c:pt idx="10">
                  <c:v>1099.9999999999959</c:v>
                </c:pt>
                <c:pt idx="11">
                  <c:v>3296.1524227066302</c:v>
                </c:pt>
                <c:pt idx="12">
                  <c:v>4100</c:v>
                </c:pt>
              </c:numCache>
            </c:numRef>
          </c:xVal>
          <c:yVal>
            <c:numRef>
              <c:f>'Graphique et données'!$Q$51:$Q$63</c:f>
              <c:numCache>
                <c:formatCode>General</c:formatCode>
                <c:ptCount val="13"/>
                <c:pt idx="0">
                  <c:v>15000</c:v>
                </c:pt>
                <c:pt idx="1">
                  <c:v>18000</c:v>
                </c:pt>
                <c:pt idx="2">
                  <c:v>20196.152422706633</c:v>
                </c:pt>
                <c:pt idx="3">
                  <c:v>21000</c:v>
                </c:pt>
                <c:pt idx="4">
                  <c:v>20196.152422706633</c:v>
                </c:pt>
                <c:pt idx="5">
                  <c:v>18000</c:v>
                </c:pt>
                <c:pt idx="6">
                  <c:v>15000</c:v>
                </c:pt>
                <c:pt idx="7">
                  <c:v>12000.000000000002</c:v>
                </c:pt>
                <c:pt idx="8">
                  <c:v>9803.8475772933707</c:v>
                </c:pt>
                <c:pt idx="9">
                  <c:v>9000</c:v>
                </c:pt>
                <c:pt idx="10">
                  <c:v>9803.8475772933671</c:v>
                </c:pt>
                <c:pt idx="11">
                  <c:v>11999.999999999996</c:v>
                </c:pt>
                <c:pt idx="12">
                  <c:v>14999.999999999998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7D1-489F-B45D-450C37201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9611456"/>
        <c:axId val="1999596064"/>
      </c:scatterChart>
      <c:valAx>
        <c:axId val="199961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99596064"/>
        <c:crosses val="autoZero"/>
        <c:crossBetween val="midCat"/>
      </c:valAx>
      <c:valAx>
        <c:axId val="199959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999611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739588</xdr:colOff>
      <xdr:row>2</xdr:row>
      <xdr:rowOff>114452</xdr:rowOff>
    </xdr:from>
    <xdr:to>
      <xdr:col>21</xdr:col>
      <xdr:colOff>571500</xdr:colOff>
      <xdr:row>39</xdr:row>
      <xdr:rowOff>67235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V63"/>
  <sheetViews>
    <sheetView tabSelected="1" topLeftCell="C7" zoomScale="85" zoomScaleNormal="85" workbookViewId="0">
      <selection activeCell="T46" sqref="T46"/>
    </sheetView>
  </sheetViews>
  <sheetFormatPr baseColWidth="10" defaultRowHeight="15" x14ac:dyDescent="0.25"/>
  <cols>
    <col min="6" max="6" width="2.85546875" customWidth="1"/>
    <col min="8" max="8" width="17.42578125" customWidth="1"/>
    <col min="9" max="9" width="21.5703125" customWidth="1"/>
  </cols>
  <sheetData>
    <row r="3" spans="3:9" ht="18.75" x14ac:dyDescent="0.3">
      <c r="C3" s="19" t="s">
        <v>15</v>
      </c>
      <c r="D3" s="20"/>
      <c r="E3" s="20"/>
      <c r="F3" s="20"/>
      <c r="G3" s="20"/>
      <c r="H3" s="21"/>
    </row>
    <row r="4" spans="3:9" ht="15.75" x14ac:dyDescent="0.25">
      <c r="C4" s="22" t="s">
        <v>16</v>
      </c>
      <c r="D4" s="22"/>
      <c r="E4" s="22"/>
      <c r="F4" s="4" t="s">
        <v>26</v>
      </c>
      <c r="G4" s="8">
        <v>0.5</v>
      </c>
      <c r="H4" s="8" t="s">
        <v>0</v>
      </c>
    </row>
    <row r="5" spans="3:9" ht="15.75" x14ac:dyDescent="0.25">
      <c r="C5" s="22" t="s">
        <v>17</v>
      </c>
      <c r="D5" s="22"/>
      <c r="E5" s="22"/>
      <c r="F5" s="4" t="s">
        <v>27</v>
      </c>
      <c r="G5" s="8">
        <v>0</v>
      </c>
      <c r="H5" s="8" t="s">
        <v>1</v>
      </c>
    </row>
    <row r="6" spans="3:9" ht="15.75" x14ac:dyDescent="0.25">
      <c r="C6" s="22" t="s">
        <v>18</v>
      </c>
      <c r="D6" s="22"/>
      <c r="E6" s="22"/>
      <c r="F6" s="4" t="s">
        <v>28</v>
      </c>
      <c r="G6" s="8">
        <v>1</v>
      </c>
      <c r="H6" s="8" t="s">
        <v>2</v>
      </c>
    </row>
    <row r="8" spans="3:9" ht="18.75" x14ac:dyDescent="0.3">
      <c r="C8" s="18" t="s">
        <v>3</v>
      </c>
      <c r="D8" s="18"/>
      <c r="E8" s="18"/>
      <c r="F8" s="18"/>
      <c r="G8" s="18"/>
      <c r="H8" s="18"/>
    </row>
    <row r="9" spans="3:9" ht="15.75" x14ac:dyDescent="0.25">
      <c r="C9" s="22" t="s">
        <v>4</v>
      </c>
      <c r="D9" s="22"/>
      <c r="E9" s="22"/>
      <c r="F9" s="4" t="s">
        <v>29</v>
      </c>
      <c r="G9" s="8">
        <v>50</v>
      </c>
      <c r="H9" s="8" t="s">
        <v>8</v>
      </c>
    </row>
    <row r="10" spans="3:9" ht="15.75" x14ac:dyDescent="0.25">
      <c r="C10" s="22" t="s">
        <v>11</v>
      </c>
      <c r="D10" s="22"/>
      <c r="E10" s="22"/>
      <c r="F10" s="4" t="s">
        <v>30</v>
      </c>
      <c r="G10" s="8">
        <v>0</v>
      </c>
      <c r="H10" s="8" t="s">
        <v>9</v>
      </c>
    </row>
    <row r="11" spans="3:9" ht="15.75" x14ac:dyDescent="0.25">
      <c r="C11" s="22" t="s">
        <v>7</v>
      </c>
      <c r="D11" s="22"/>
      <c r="E11" s="22"/>
      <c r="F11" s="4" t="s">
        <v>31</v>
      </c>
      <c r="G11" s="8">
        <v>0</v>
      </c>
      <c r="H11" s="8" t="s">
        <v>1</v>
      </c>
    </row>
    <row r="12" spans="3:9" ht="15.75" x14ac:dyDescent="0.25">
      <c r="C12" s="22" t="s">
        <v>5</v>
      </c>
      <c r="D12" s="22"/>
      <c r="E12" s="22"/>
      <c r="F12" s="4" t="s">
        <v>32</v>
      </c>
      <c r="G12" s="8">
        <v>0</v>
      </c>
      <c r="H12" s="8" t="s">
        <v>10</v>
      </c>
    </row>
    <row r="13" spans="3:9" ht="15.75" x14ac:dyDescent="0.25">
      <c r="C13" s="22" t="s">
        <v>6</v>
      </c>
      <c r="D13" s="22"/>
      <c r="E13" s="22"/>
      <c r="F13" s="4" t="s">
        <v>41</v>
      </c>
      <c r="G13" s="8">
        <v>40</v>
      </c>
      <c r="H13" s="8" t="s">
        <v>9</v>
      </c>
    </row>
    <row r="15" spans="3:9" ht="18.75" x14ac:dyDescent="0.3">
      <c r="C15" s="18" t="s">
        <v>13</v>
      </c>
      <c r="D15" s="18"/>
      <c r="E15" s="18"/>
      <c r="F15" s="18"/>
      <c r="G15" s="18"/>
      <c r="H15" s="18"/>
      <c r="I15" s="18"/>
    </row>
    <row r="16" spans="3:9" ht="18.75" x14ac:dyDescent="0.3">
      <c r="C16" s="18" t="s">
        <v>38</v>
      </c>
      <c r="D16" s="18"/>
      <c r="E16" s="18"/>
      <c r="F16" s="18"/>
      <c r="G16" s="18"/>
      <c r="H16" s="18"/>
      <c r="I16" s="18"/>
    </row>
    <row r="17" spans="3:9" x14ac:dyDescent="0.25">
      <c r="C17" s="22" t="s">
        <v>19</v>
      </c>
      <c r="D17" s="22"/>
      <c r="E17" s="22"/>
      <c r="F17" s="7" t="s">
        <v>33</v>
      </c>
      <c r="G17" s="3">
        <v>10700</v>
      </c>
      <c r="H17" s="3">
        <v>5500</v>
      </c>
      <c r="I17" s="2" t="s">
        <v>9</v>
      </c>
    </row>
    <row r="18" spans="3:9" x14ac:dyDescent="0.25">
      <c r="C18" s="22" t="s">
        <v>20</v>
      </c>
      <c r="D18" s="22"/>
      <c r="E18" s="22"/>
      <c r="F18" s="7" t="s">
        <v>34</v>
      </c>
      <c r="G18" s="28">
        <v>4000</v>
      </c>
      <c r="H18" s="29"/>
      <c r="I18" s="2" t="s">
        <v>9</v>
      </c>
    </row>
    <row r="19" spans="3:9" x14ac:dyDescent="0.25">
      <c r="C19" s="7" t="s">
        <v>21</v>
      </c>
      <c r="D19" s="7"/>
      <c r="E19" s="7"/>
      <c r="F19" s="7" t="s">
        <v>30</v>
      </c>
      <c r="G19" s="28">
        <v>1</v>
      </c>
      <c r="H19" s="29"/>
      <c r="I19" s="2" t="s">
        <v>39</v>
      </c>
    </row>
    <row r="20" spans="3:9" x14ac:dyDescent="0.25">
      <c r="C20" s="22" t="s">
        <v>23</v>
      </c>
      <c r="D20" s="22"/>
      <c r="E20" s="22"/>
      <c r="F20" s="7" t="s">
        <v>35</v>
      </c>
      <c r="G20" s="28">
        <f>(4/3)*PI()*G18</f>
        <v>16755.160819145563</v>
      </c>
      <c r="H20" s="29"/>
      <c r="I20" s="2" t="s">
        <v>40</v>
      </c>
    </row>
    <row r="21" spans="3:9" x14ac:dyDescent="0.25">
      <c r="C21" s="22" t="s">
        <v>22</v>
      </c>
      <c r="D21" s="22"/>
      <c r="E21" s="22"/>
      <c r="F21" s="7" t="s">
        <v>36</v>
      </c>
      <c r="G21" s="28">
        <f>G19*G20</f>
        <v>16755.160819145563</v>
      </c>
      <c r="H21" s="29"/>
      <c r="I21" s="2" t="s">
        <v>8</v>
      </c>
    </row>
    <row r="22" spans="3:9" x14ac:dyDescent="0.25">
      <c r="C22" s="22" t="s">
        <v>24</v>
      </c>
      <c r="D22" s="22"/>
      <c r="E22" s="22"/>
      <c r="F22" s="7" t="s">
        <v>28</v>
      </c>
      <c r="G22" s="28">
        <f>G18*G6</f>
        <v>4000</v>
      </c>
      <c r="H22" s="29"/>
      <c r="I22" s="2" t="s">
        <v>9</v>
      </c>
    </row>
    <row r="23" spans="3:9" x14ac:dyDescent="0.25">
      <c r="C23" s="22" t="s">
        <v>25</v>
      </c>
      <c r="D23" s="22"/>
      <c r="E23" s="22"/>
      <c r="F23" s="1" t="s">
        <v>37</v>
      </c>
      <c r="G23" s="28" t="s">
        <v>42</v>
      </c>
      <c r="H23" s="29"/>
      <c r="I23" s="2" t="s">
        <v>2</v>
      </c>
    </row>
    <row r="24" spans="3:9" ht="18.75" x14ac:dyDescent="0.3">
      <c r="C24" s="30" t="s">
        <v>12</v>
      </c>
      <c r="D24" s="30"/>
      <c r="E24" s="30"/>
      <c r="F24" s="30"/>
      <c r="G24" s="30"/>
      <c r="H24" s="30"/>
      <c r="I24" s="30"/>
    </row>
    <row r="25" spans="3:9" ht="15.75" x14ac:dyDescent="0.25">
      <c r="C25" s="24" t="s">
        <v>19</v>
      </c>
      <c r="D25" s="24"/>
      <c r="E25" s="24"/>
      <c r="F25" s="5" t="s">
        <v>33</v>
      </c>
      <c r="G25" s="5">
        <v>-10800</v>
      </c>
      <c r="H25" s="5">
        <v>-1000</v>
      </c>
      <c r="I25" s="9" t="s">
        <v>9</v>
      </c>
    </row>
    <row r="26" spans="3:9" ht="15.75" x14ac:dyDescent="0.25">
      <c r="C26" s="24" t="s">
        <v>20</v>
      </c>
      <c r="D26" s="24"/>
      <c r="E26" s="24"/>
      <c r="F26" s="5" t="s">
        <v>34</v>
      </c>
      <c r="G26" s="26">
        <v>3000</v>
      </c>
      <c r="H26" s="27"/>
      <c r="I26" s="9" t="s">
        <v>9</v>
      </c>
    </row>
    <row r="27" spans="3:9" ht="15.75" x14ac:dyDescent="0.25">
      <c r="C27" s="24" t="s">
        <v>21</v>
      </c>
      <c r="D27" s="24"/>
      <c r="E27" s="24"/>
      <c r="F27" s="5" t="s">
        <v>30</v>
      </c>
      <c r="G27" s="26">
        <v>1</v>
      </c>
      <c r="H27" s="27"/>
      <c r="I27" s="9" t="s">
        <v>39</v>
      </c>
    </row>
    <row r="28" spans="3:9" ht="15.75" x14ac:dyDescent="0.25">
      <c r="C28" s="24" t="s">
        <v>23</v>
      </c>
      <c r="D28" s="24"/>
      <c r="E28" s="24"/>
      <c r="F28" s="5" t="s">
        <v>35</v>
      </c>
      <c r="G28" s="26">
        <f>(4/3)*PI()*G26</f>
        <v>12566.370614359172</v>
      </c>
      <c r="H28" s="27"/>
      <c r="I28" s="9" t="s">
        <v>40</v>
      </c>
    </row>
    <row r="29" spans="3:9" ht="15.75" x14ac:dyDescent="0.25">
      <c r="C29" s="24" t="s">
        <v>22</v>
      </c>
      <c r="D29" s="24"/>
      <c r="E29" s="24"/>
      <c r="F29" s="5" t="s">
        <v>36</v>
      </c>
      <c r="G29" s="26">
        <f>G27*G28</f>
        <v>12566.370614359172</v>
      </c>
      <c r="H29" s="27"/>
      <c r="I29" s="9" t="s">
        <v>8</v>
      </c>
    </row>
    <row r="30" spans="3:9" ht="15.75" x14ac:dyDescent="0.25">
      <c r="C30" s="24" t="s">
        <v>24</v>
      </c>
      <c r="D30" s="24"/>
      <c r="E30" s="24"/>
      <c r="F30" s="5" t="s">
        <v>28</v>
      </c>
      <c r="G30" s="26">
        <f>G26*G6</f>
        <v>3000</v>
      </c>
      <c r="H30" s="27"/>
      <c r="I30" s="9" t="s">
        <v>9</v>
      </c>
    </row>
    <row r="31" spans="3:9" ht="15.75" x14ac:dyDescent="0.25">
      <c r="C31" s="24" t="s">
        <v>25</v>
      </c>
      <c r="D31" s="24"/>
      <c r="E31" s="24"/>
      <c r="F31" s="5" t="s">
        <v>37</v>
      </c>
      <c r="G31" s="26"/>
      <c r="H31" s="27"/>
      <c r="I31" s="9" t="s">
        <v>2</v>
      </c>
    </row>
    <row r="32" spans="3:9" ht="18.75" x14ac:dyDescent="0.3">
      <c r="C32" s="25" t="s">
        <v>14</v>
      </c>
      <c r="D32" s="25"/>
      <c r="E32" s="25"/>
      <c r="F32" s="25"/>
      <c r="G32" s="25"/>
      <c r="H32" s="25"/>
      <c r="I32" s="25"/>
    </row>
    <row r="33" spans="3:22" ht="15.75" x14ac:dyDescent="0.25">
      <c r="C33" s="23" t="s">
        <v>19</v>
      </c>
      <c r="D33" s="23"/>
      <c r="E33" s="23"/>
      <c r="F33" s="6" t="s">
        <v>33</v>
      </c>
      <c r="G33" s="6">
        <v>-1900</v>
      </c>
      <c r="H33" s="6">
        <v>15000</v>
      </c>
      <c r="I33" s="10" t="s">
        <v>9</v>
      </c>
    </row>
    <row r="34" spans="3:22" ht="15.75" x14ac:dyDescent="0.25">
      <c r="C34" s="23" t="s">
        <v>20</v>
      </c>
      <c r="D34" s="23"/>
      <c r="E34" s="23"/>
      <c r="F34" s="6" t="s">
        <v>34</v>
      </c>
      <c r="G34" s="13">
        <v>6000</v>
      </c>
      <c r="H34" s="14"/>
      <c r="I34" s="10" t="s">
        <v>9</v>
      </c>
    </row>
    <row r="35" spans="3:22" ht="15.75" x14ac:dyDescent="0.25">
      <c r="C35" s="23" t="s">
        <v>21</v>
      </c>
      <c r="D35" s="23"/>
      <c r="E35" s="23"/>
      <c r="F35" s="6" t="s">
        <v>30</v>
      </c>
      <c r="G35" s="13">
        <v>1</v>
      </c>
      <c r="H35" s="14"/>
      <c r="I35" s="10" t="s">
        <v>39</v>
      </c>
    </row>
    <row r="36" spans="3:22" ht="15.75" x14ac:dyDescent="0.25">
      <c r="C36" s="23" t="s">
        <v>23</v>
      </c>
      <c r="D36" s="23"/>
      <c r="E36" s="23"/>
      <c r="F36" s="6" t="s">
        <v>35</v>
      </c>
      <c r="G36" s="13">
        <f>(4/3)*PI()*G34</f>
        <v>25132.741228718343</v>
      </c>
      <c r="H36" s="14"/>
      <c r="I36" s="10" t="s">
        <v>40</v>
      </c>
    </row>
    <row r="37" spans="3:22" ht="15.75" x14ac:dyDescent="0.25">
      <c r="C37" s="23" t="s">
        <v>22</v>
      </c>
      <c r="D37" s="23"/>
      <c r="E37" s="23"/>
      <c r="F37" s="6" t="s">
        <v>36</v>
      </c>
      <c r="G37" s="13">
        <f>G36*G35</f>
        <v>25132.741228718343</v>
      </c>
      <c r="H37" s="14"/>
      <c r="I37" s="10" t="s">
        <v>8</v>
      </c>
    </row>
    <row r="38" spans="3:22" ht="15.75" x14ac:dyDescent="0.25">
      <c r="C38" s="23" t="s">
        <v>24</v>
      </c>
      <c r="D38" s="23"/>
      <c r="E38" s="23"/>
      <c r="F38" s="6" t="s">
        <v>28</v>
      </c>
      <c r="G38" s="13">
        <v>2000</v>
      </c>
      <c r="H38" s="14"/>
      <c r="I38" s="10" t="s">
        <v>9</v>
      </c>
    </row>
    <row r="39" spans="3:22" ht="15.75" x14ac:dyDescent="0.25">
      <c r="C39" s="23" t="s">
        <v>25</v>
      </c>
      <c r="D39" s="23"/>
      <c r="E39" s="23"/>
      <c r="F39" s="6" t="s">
        <v>37</v>
      </c>
      <c r="G39" s="13" t="s">
        <v>42</v>
      </c>
      <c r="H39" s="14"/>
      <c r="I39" s="10" t="s">
        <v>2</v>
      </c>
    </row>
    <row r="45" spans="3:22" x14ac:dyDescent="0.25">
      <c r="H45" s="15" t="s">
        <v>48</v>
      </c>
      <c r="I45" s="15"/>
      <c r="L45" s="16" t="s">
        <v>49</v>
      </c>
      <c r="M45" s="17"/>
      <c r="N45" s="12"/>
      <c r="P45" s="15" t="s">
        <v>50</v>
      </c>
      <c r="Q45" s="15"/>
      <c r="T45">
        <v>0</v>
      </c>
      <c r="U45">
        <v>0</v>
      </c>
      <c r="V45">
        <v>0</v>
      </c>
    </row>
    <row r="46" spans="3:22" x14ac:dyDescent="0.25">
      <c r="H46" s="11" t="s">
        <v>34</v>
      </c>
      <c r="I46" s="11">
        <v>4000</v>
      </c>
      <c r="L46" s="11" t="s">
        <v>34</v>
      </c>
      <c r="M46" s="11">
        <v>3000</v>
      </c>
      <c r="P46" s="11" t="s">
        <v>34</v>
      </c>
      <c r="Q46" s="11">
        <v>6000</v>
      </c>
    </row>
    <row r="47" spans="3:22" x14ac:dyDescent="0.25">
      <c r="H47" s="11" t="s">
        <v>43</v>
      </c>
      <c r="I47" s="11">
        <v>10700</v>
      </c>
      <c r="L47" s="11" t="s">
        <v>43</v>
      </c>
      <c r="M47" s="11">
        <v>-10800</v>
      </c>
      <c r="P47" s="11" t="s">
        <v>43</v>
      </c>
      <c r="Q47" s="11">
        <v>-1900</v>
      </c>
    </row>
    <row r="48" spans="3:22" x14ac:dyDescent="0.25">
      <c r="H48" s="11" t="s">
        <v>44</v>
      </c>
      <c r="I48" s="11">
        <v>5500</v>
      </c>
      <c r="L48" s="11" t="s">
        <v>44</v>
      </c>
      <c r="M48" s="11">
        <v>-1000</v>
      </c>
      <c r="P48" s="11" t="s">
        <v>47</v>
      </c>
      <c r="Q48" s="11">
        <v>15000</v>
      </c>
    </row>
    <row r="50" spans="7:17" x14ac:dyDescent="0.25">
      <c r="G50" s="11"/>
      <c r="H50" s="11" t="s">
        <v>45</v>
      </c>
      <c r="I50" s="11" t="s">
        <v>46</v>
      </c>
      <c r="J50" s="11" t="s">
        <v>47</v>
      </c>
      <c r="M50" s="11" t="s">
        <v>46</v>
      </c>
      <c r="N50" s="11" t="s">
        <v>47</v>
      </c>
      <c r="P50" s="11" t="s">
        <v>46</v>
      </c>
      <c r="Q50" s="11" t="s">
        <v>47</v>
      </c>
    </row>
    <row r="51" spans="7:17" x14ac:dyDescent="0.25">
      <c r="G51" s="11">
        <v>0</v>
      </c>
      <c r="H51" s="11">
        <f>$G51*(2*PI()/12)</f>
        <v>0</v>
      </c>
      <c r="I51" s="11">
        <f>(COS(H51)*$I$46)+$I$47</f>
        <v>14700</v>
      </c>
      <c r="J51" s="11">
        <f>(SIN(H51)*$I$46)+$I$48</f>
        <v>5500</v>
      </c>
      <c r="M51" s="11">
        <f>(COS(H51)*$M$46)+$M$47</f>
        <v>-7800</v>
      </c>
      <c r="N51" s="11">
        <f>(SIN(H51)*$M$46)+$M$48</f>
        <v>-1000</v>
      </c>
      <c r="P51" s="11">
        <f>(COS(H51)*$Q$46)+$Q$47</f>
        <v>4100</v>
      </c>
      <c r="Q51" s="11">
        <f>(SIN(H51)*$Q$46)+$Q$48</f>
        <v>15000</v>
      </c>
    </row>
    <row r="52" spans="7:17" x14ac:dyDescent="0.25">
      <c r="G52" s="11">
        <v>1</v>
      </c>
      <c r="H52" s="11">
        <f>$G52*(2*PI()/12)</f>
        <v>0.52359877559829882</v>
      </c>
      <c r="I52" s="11">
        <f>(COS(H52)*$I$46)+$I$47</f>
        <v>14164.101615137755</v>
      </c>
      <c r="J52" s="11">
        <f>(SIN(H52)*$I$46)+$I$48</f>
        <v>7500</v>
      </c>
      <c r="M52" s="11">
        <f t="shared" ref="M52:M63" si="0">(COS(H52)*$M$46)+$M$47</f>
        <v>-8201.9237886466835</v>
      </c>
      <c r="N52" s="11">
        <f t="shared" ref="N52:N63" si="1">(SIN(H52)*$M$46)+$M$48</f>
        <v>499.99999999999977</v>
      </c>
      <c r="P52" s="11">
        <f t="shared" ref="P52:P63" si="2">(COS(H52)*$Q$46)+$Q$47</f>
        <v>3296.152422706632</v>
      </c>
      <c r="Q52" s="11">
        <f t="shared" ref="Q52:Q63" si="3">(SIN(H52)*$Q$46)+$Q$48</f>
        <v>18000</v>
      </c>
    </row>
    <row r="53" spans="7:17" x14ac:dyDescent="0.25">
      <c r="G53" s="11">
        <v>2</v>
      </c>
      <c r="H53" s="11">
        <f t="shared" ref="H53:H63" si="4">$G53*(2*PI()/12)</f>
        <v>1.0471975511965976</v>
      </c>
      <c r="I53" s="11">
        <f t="shared" ref="I53:I63" si="5">(COS(H53)*$I$46)+$I$47</f>
        <v>12700</v>
      </c>
      <c r="J53" s="11">
        <f t="shared" ref="J53:J63" si="6">(SIN(H53)*$I$46)+$I$48</f>
        <v>8964.1016151377553</v>
      </c>
      <c r="M53" s="11">
        <f t="shared" si="0"/>
        <v>-9300</v>
      </c>
      <c r="N53" s="11">
        <f t="shared" si="1"/>
        <v>1598.076211353316</v>
      </c>
      <c r="P53" s="11">
        <f t="shared" si="2"/>
        <v>1100.0000000000005</v>
      </c>
      <c r="Q53" s="11">
        <f t="shared" si="3"/>
        <v>20196.152422706633</v>
      </c>
    </row>
    <row r="54" spans="7:17" x14ac:dyDescent="0.25">
      <c r="G54" s="11">
        <v>3</v>
      </c>
      <c r="H54" s="11">
        <f t="shared" si="4"/>
        <v>1.5707963267948966</v>
      </c>
      <c r="I54" s="11">
        <f t="shared" si="5"/>
        <v>10700</v>
      </c>
      <c r="J54" s="11">
        <f t="shared" si="6"/>
        <v>9500</v>
      </c>
      <c r="M54" s="11">
        <f t="shared" si="0"/>
        <v>-10800</v>
      </c>
      <c r="N54" s="11">
        <f t="shared" si="1"/>
        <v>2000</v>
      </c>
      <c r="P54" s="11">
        <f t="shared" si="2"/>
        <v>-1899.9999999999995</v>
      </c>
      <c r="Q54" s="11">
        <f t="shared" si="3"/>
        <v>21000</v>
      </c>
    </row>
    <row r="55" spans="7:17" x14ac:dyDescent="0.25">
      <c r="G55" s="11">
        <v>4</v>
      </c>
      <c r="H55" s="11">
        <f t="shared" si="4"/>
        <v>2.0943951023931953</v>
      </c>
      <c r="I55" s="11">
        <f t="shared" si="5"/>
        <v>8700</v>
      </c>
      <c r="J55" s="11">
        <f t="shared" si="6"/>
        <v>8964.1016151377553</v>
      </c>
      <c r="M55" s="11">
        <f t="shared" si="0"/>
        <v>-12300</v>
      </c>
      <c r="N55" s="11">
        <f t="shared" si="1"/>
        <v>1598.076211353316</v>
      </c>
      <c r="P55" s="11">
        <f t="shared" si="2"/>
        <v>-4899.9999999999982</v>
      </c>
      <c r="Q55" s="11">
        <f t="shared" si="3"/>
        <v>20196.152422706633</v>
      </c>
    </row>
    <row r="56" spans="7:17" x14ac:dyDescent="0.25">
      <c r="G56" s="11">
        <v>5</v>
      </c>
      <c r="H56" s="11">
        <f t="shared" si="4"/>
        <v>2.617993877991494</v>
      </c>
      <c r="I56" s="11">
        <f t="shared" si="5"/>
        <v>7235.8983848622465</v>
      </c>
      <c r="J56" s="11">
        <f t="shared" si="6"/>
        <v>7500.0000000000018</v>
      </c>
      <c r="M56" s="11">
        <f t="shared" si="0"/>
        <v>-13398.076211353316</v>
      </c>
      <c r="N56" s="11">
        <f t="shared" si="1"/>
        <v>500.00000000000091</v>
      </c>
      <c r="P56" s="11">
        <f t="shared" si="2"/>
        <v>-7096.1524227066311</v>
      </c>
      <c r="Q56" s="11">
        <f t="shared" si="3"/>
        <v>18000</v>
      </c>
    </row>
    <row r="57" spans="7:17" x14ac:dyDescent="0.25">
      <c r="G57" s="11">
        <v>6</v>
      </c>
      <c r="H57" s="11">
        <f t="shared" si="4"/>
        <v>3.1415926535897931</v>
      </c>
      <c r="I57" s="11">
        <f t="shared" si="5"/>
        <v>6700</v>
      </c>
      <c r="J57" s="11">
        <f t="shared" si="6"/>
        <v>5500.0000000000009</v>
      </c>
      <c r="M57" s="11">
        <f t="shared" si="0"/>
        <v>-13800</v>
      </c>
      <c r="N57" s="11">
        <f t="shared" si="1"/>
        <v>-999.99999999999966</v>
      </c>
      <c r="P57" s="11">
        <f t="shared" si="2"/>
        <v>-7900</v>
      </c>
      <c r="Q57" s="11">
        <f t="shared" si="3"/>
        <v>15000</v>
      </c>
    </row>
    <row r="58" spans="7:17" x14ac:dyDescent="0.25">
      <c r="G58" s="11">
        <v>7</v>
      </c>
      <c r="H58" s="11">
        <f t="shared" si="4"/>
        <v>3.6651914291880918</v>
      </c>
      <c r="I58" s="11">
        <f t="shared" si="5"/>
        <v>7235.8983848622447</v>
      </c>
      <c r="J58" s="11">
        <f t="shared" si="6"/>
        <v>3500.0000000000009</v>
      </c>
      <c r="M58" s="11">
        <f t="shared" si="0"/>
        <v>-13398.076211353316</v>
      </c>
      <c r="N58" s="11">
        <f t="shared" si="1"/>
        <v>-2499.9999999999991</v>
      </c>
      <c r="P58" s="11">
        <f t="shared" si="2"/>
        <v>-7096.1524227066329</v>
      </c>
      <c r="Q58" s="11">
        <f t="shared" si="3"/>
        <v>12000.000000000002</v>
      </c>
    </row>
    <row r="59" spans="7:17" x14ac:dyDescent="0.25">
      <c r="G59" s="11">
        <v>8</v>
      </c>
      <c r="H59" s="11">
        <f t="shared" si="4"/>
        <v>4.1887902047863905</v>
      </c>
      <c r="I59" s="11">
        <f t="shared" si="5"/>
        <v>8699.9999999999982</v>
      </c>
      <c r="J59" s="11">
        <f t="shared" si="6"/>
        <v>2035.8983848622465</v>
      </c>
      <c r="M59" s="11">
        <f t="shared" si="0"/>
        <v>-12300.000000000002</v>
      </c>
      <c r="N59" s="11">
        <f t="shared" si="1"/>
        <v>-3598.0762113533151</v>
      </c>
      <c r="P59" s="11">
        <f t="shared" si="2"/>
        <v>-4900.0000000000027</v>
      </c>
      <c r="Q59" s="11">
        <f t="shared" si="3"/>
        <v>9803.8475772933707</v>
      </c>
    </row>
    <row r="60" spans="7:17" x14ac:dyDescent="0.25">
      <c r="G60" s="11">
        <v>9</v>
      </c>
      <c r="H60" s="11">
        <f t="shared" si="4"/>
        <v>4.7123889803846897</v>
      </c>
      <c r="I60" s="11">
        <f t="shared" si="5"/>
        <v>10700</v>
      </c>
      <c r="J60" s="11">
        <f t="shared" si="6"/>
        <v>1500</v>
      </c>
      <c r="M60" s="11">
        <f t="shared" si="0"/>
        <v>-10800</v>
      </c>
      <c r="N60" s="11">
        <f t="shared" si="1"/>
        <v>-4000</v>
      </c>
      <c r="P60" s="11">
        <f t="shared" si="2"/>
        <v>-1900.0000000000011</v>
      </c>
      <c r="Q60" s="11">
        <f t="shared" si="3"/>
        <v>9000</v>
      </c>
    </row>
    <row r="61" spans="7:17" x14ac:dyDescent="0.25">
      <c r="G61" s="11">
        <v>10</v>
      </c>
      <c r="H61" s="11">
        <f t="shared" si="4"/>
        <v>5.2359877559829879</v>
      </c>
      <c r="I61" s="11">
        <f t="shared" si="5"/>
        <v>12699.999999999996</v>
      </c>
      <c r="J61" s="11">
        <f t="shared" si="6"/>
        <v>2035.8983848622438</v>
      </c>
      <c r="M61" s="11">
        <f t="shared" si="0"/>
        <v>-9300.0000000000018</v>
      </c>
      <c r="N61" s="11">
        <f t="shared" si="1"/>
        <v>-3598.0762113533169</v>
      </c>
      <c r="P61" s="11">
        <f t="shared" si="2"/>
        <v>1099.9999999999959</v>
      </c>
      <c r="Q61" s="11">
        <f t="shared" si="3"/>
        <v>9803.8475772933671</v>
      </c>
    </row>
    <row r="62" spans="7:17" x14ac:dyDescent="0.25">
      <c r="G62" s="11">
        <v>11</v>
      </c>
      <c r="H62" s="11">
        <f t="shared" si="4"/>
        <v>5.7595865315812871</v>
      </c>
      <c r="I62" s="11">
        <f t="shared" si="5"/>
        <v>14164.101615137753</v>
      </c>
      <c r="J62" s="11">
        <f t="shared" si="6"/>
        <v>3499.9999999999982</v>
      </c>
      <c r="M62" s="11">
        <f t="shared" si="0"/>
        <v>-8201.9237886466854</v>
      </c>
      <c r="N62" s="11">
        <f t="shared" si="1"/>
        <v>-2500.0000000000014</v>
      </c>
      <c r="P62" s="11">
        <f t="shared" si="2"/>
        <v>3296.1524227066302</v>
      </c>
      <c r="Q62" s="11">
        <f t="shared" si="3"/>
        <v>11999.999999999996</v>
      </c>
    </row>
    <row r="63" spans="7:17" x14ac:dyDescent="0.25">
      <c r="G63" s="11">
        <v>12</v>
      </c>
      <c r="H63" s="11">
        <f t="shared" si="4"/>
        <v>6.2831853071795862</v>
      </c>
      <c r="I63" s="11">
        <f t="shared" si="5"/>
        <v>14700</v>
      </c>
      <c r="J63" s="11">
        <f t="shared" si="6"/>
        <v>5499.9999999999991</v>
      </c>
      <c r="M63" s="11">
        <f t="shared" si="0"/>
        <v>-7800</v>
      </c>
      <c r="N63" s="11">
        <f t="shared" si="1"/>
        <v>-1000.0000000000007</v>
      </c>
      <c r="P63" s="11">
        <f t="shared" si="2"/>
        <v>4100</v>
      </c>
      <c r="Q63" s="11">
        <f t="shared" si="3"/>
        <v>14999.999999999998</v>
      </c>
    </row>
  </sheetData>
  <mergeCells count="55">
    <mergeCell ref="G22:H22"/>
    <mergeCell ref="G38:H38"/>
    <mergeCell ref="G23:H23"/>
    <mergeCell ref="C34:E34"/>
    <mergeCell ref="C35:E35"/>
    <mergeCell ref="C36:E36"/>
    <mergeCell ref="C37:E37"/>
    <mergeCell ref="C24:I24"/>
    <mergeCell ref="C23:E23"/>
    <mergeCell ref="C25:E25"/>
    <mergeCell ref="C26:E26"/>
    <mergeCell ref="G26:H26"/>
    <mergeCell ref="G35:H35"/>
    <mergeCell ref="G36:H36"/>
    <mergeCell ref="G37:H37"/>
    <mergeCell ref="G28:H28"/>
    <mergeCell ref="G29:H29"/>
    <mergeCell ref="G30:H30"/>
    <mergeCell ref="G31:H31"/>
    <mergeCell ref="G34:H34"/>
    <mergeCell ref="C15:I15"/>
    <mergeCell ref="C17:E17"/>
    <mergeCell ref="C18:E18"/>
    <mergeCell ref="C20:E20"/>
    <mergeCell ref="C21:E21"/>
    <mergeCell ref="G18:H18"/>
    <mergeCell ref="G19:H19"/>
    <mergeCell ref="G20:H20"/>
    <mergeCell ref="G21:H21"/>
    <mergeCell ref="C9:E9"/>
    <mergeCell ref="C10:E10"/>
    <mergeCell ref="C11:E11"/>
    <mergeCell ref="C12:E12"/>
    <mergeCell ref="C13:E13"/>
    <mergeCell ref="C3:H3"/>
    <mergeCell ref="C4:E4"/>
    <mergeCell ref="C5:E5"/>
    <mergeCell ref="C6:E6"/>
    <mergeCell ref="C8:H8"/>
    <mergeCell ref="G39:H39"/>
    <mergeCell ref="H45:I45"/>
    <mergeCell ref="P45:Q45"/>
    <mergeCell ref="L45:M45"/>
    <mergeCell ref="C16:I16"/>
    <mergeCell ref="C22:E22"/>
    <mergeCell ref="C38:E38"/>
    <mergeCell ref="C39:E39"/>
    <mergeCell ref="C27:E27"/>
    <mergeCell ref="C28:E28"/>
    <mergeCell ref="C29:E29"/>
    <mergeCell ref="C30:E30"/>
    <mergeCell ref="C31:E31"/>
    <mergeCell ref="C33:E33"/>
    <mergeCell ref="C32:I32"/>
    <mergeCell ref="G27:H27"/>
  </mergeCells>
  <dataValidations count="1">
    <dataValidation allowBlank="1" showInputMessage="1" showErrorMessage="1" promptTitle="Attraction" sqref="N18:N19" xr:uid="{00000000-0002-0000-0000-000000000000}"/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Graphique et données</vt:lpstr>
      <vt:lpstr>Simulation en mouvement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2022-03-29T17:33:40Z</dcterms:modified>
</cp:coreProperties>
</file>